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study\rdma-filter\output\"/>
    </mc:Choice>
  </mc:AlternateContent>
  <xr:revisionPtr revIDLastSave="0" documentId="13_ncr:1_{D9F29072-960B-4FA8-BB24-4AEEB70DBC7F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run_2" sheetId="2" r:id="rId1"/>
    <sheet name="temp" sheetId="1" r:id="rId2"/>
    <sheet name="c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2" i="2" l="1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3" i="2"/>
</calcChain>
</file>

<file path=xl/sharedStrings.xml><?xml version="1.0" encoding="utf-8"?>
<sst xmlns="http://schemas.openxmlformats.org/spreadsheetml/2006/main" count="18" uniqueCount="13">
  <si>
    <t>Load Factor(%)</t>
    <phoneticPr fontId="1" type="noConversion"/>
  </si>
  <si>
    <t>Throughput(Insert)(op/s)</t>
    <phoneticPr fontId="1" type="noConversion"/>
  </si>
  <si>
    <t>Throughput(Lookup existing)(op/s)</t>
    <phoneticPr fontId="1" type="noConversion"/>
  </si>
  <si>
    <t>Throughput(Lookup(non-existing))(op/s)</t>
    <phoneticPr fontId="1" type="noConversion"/>
  </si>
  <si>
    <t>False Positive Rate</t>
    <phoneticPr fontId="1" type="noConversion"/>
  </si>
  <si>
    <t>Config FPR</t>
    <phoneticPr fontId="1" type="noConversion"/>
  </si>
  <si>
    <t>Expected FPR (k=9)</t>
    <phoneticPr fontId="1" type="noConversion"/>
  </si>
  <si>
    <t>Load</t>
  </si>
  <si>
    <t>Insert_Throughput</t>
  </si>
  <si>
    <t>Existing_Lookup_Throughput</t>
  </si>
  <si>
    <t>Non_Existing_Lookup_Throughput</t>
  </si>
  <si>
    <t>False_Positive_Rate</t>
  </si>
  <si>
    <t>Delete_Throughput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</si>
</sst>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run_2!$C$1</c:f>
              <c:strCache>
                <c:ptCount val="1"/>
                <c:pt idx="0">
                  <c:v>Throughput(Lookup existing)(op/s)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run_2!$A$2:$A$22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run_2!$C$2:$C$22</c:f>
              <c:numCache>
                <c:formatCode>0.00E+00</c:formatCode>
                <c:ptCount val="21"/>
                <c:pt idx="1">
                  <c:v>1866000</c:v>
                </c:pt>
                <c:pt idx="2">
                  <c:v>1864000</c:v>
                </c:pt>
                <c:pt idx="3">
                  <c:v>1866000</c:v>
                </c:pt>
                <c:pt idx="4">
                  <c:v>1867000</c:v>
                </c:pt>
                <c:pt idx="5">
                  <c:v>1867000</c:v>
                </c:pt>
                <c:pt idx="6">
                  <c:v>1867000</c:v>
                </c:pt>
                <c:pt idx="7">
                  <c:v>1863000</c:v>
                </c:pt>
                <c:pt idx="8">
                  <c:v>1854000</c:v>
                </c:pt>
                <c:pt idx="9">
                  <c:v>1854000</c:v>
                </c:pt>
                <c:pt idx="10">
                  <c:v>1863000</c:v>
                </c:pt>
                <c:pt idx="11">
                  <c:v>1863000</c:v>
                </c:pt>
                <c:pt idx="12">
                  <c:v>1842000</c:v>
                </c:pt>
                <c:pt idx="13">
                  <c:v>1867000</c:v>
                </c:pt>
                <c:pt idx="14">
                  <c:v>1866000</c:v>
                </c:pt>
                <c:pt idx="15">
                  <c:v>1857000</c:v>
                </c:pt>
                <c:pt idx="16">
                  <c:v>1847000</c:v>
                </c:pt>
                <c:pt idx="17">
                  <c:v>1868000</c:v>
                </c:pt>
                <c:pt idx="18">
                  <c:v>1857000</c:v>
                </c:pt>
                <c:pt idx="19">
                  <c:v>1842000</c:v>
                </c:pt>
                <c:pt idx="20">
                  <c:v>1866000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D8-483B-8780-478836B99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475456"/>
        <c:axId val="229473792"/>
      </c:lineChart>
      <c:catAx>
        <c:axId val="22947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9473792"/>
        <c:crosses val="autoZero"/>
        <c:auto val="1"/>
        <c:lblAlgn val="ctr"/>
        <c:lblOffset val="100"/>
        <c:noMultiLvlLbl val="0"/>
      </c:catAx>
      <c:valAx>
        <c:axId val="22947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947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run_2!$B$1</c:f>
              <c:strCache>
                <c:ptCount val="1"/>
                <c:pt idx="0">
                  <c:v>Throughput(Insert)(op/s)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run_2!$A$2:$A$22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run_2!$B$2:$B$22</c:f>
              <c:numCache>
                <c:formatCode>0.00E+00</c:formatCode>
                <c:ptCount val="21"/>
                <c:pt idx="0">
                  <c:v>1792000</c:v>
                </c:pt>
                <c:pt idx="1">
                  <c:v>1846000</c:v>
                </c:pt>
                <c:pt idx="2">
                  <c:v>1846000</c:v>
                </c:pt>
                <c:pt idx="3">
                  <c:v>1846000</c:v>
                </c:pt>
                <c:pt idx="4">
                  <c:v>1845000</c:v>
                </c:pt>
                <c:pt idx="5">
                  <c:v>1845000</c:v>
                </c:pt>
                <c:pt idx="6">
                  <c:v>1847000</c:v>
                </c:pt>
                <c:pt idx="7">
                  <c:v>1846000</c:v>
                </c:pt>
                <c:pt idx="8">
                  <c:v>1847000</c:v>
                </c:pt>
                <c:pt idx="9">
                  <c:v>1847000</c:v>
                </c:pt>
                <c:pt idx="10">
                  <c:v>1846000</c:v>
                </c:pt>
                <c:pt idx="11">
                  <c:v>1847000</c:v>
                </c:pt>
                <c:pt idx="12">
                  <c:v>1846000</c:v>
                </c:pt>
                <c:pt idx="13">
                  <c:v>1846000</c:v>
                </c:pt>
                <c:pt idx="14">
                  <c:v>1846000</c:v>
                </c:pt>
                <c:pt idx="15">
                  <c:v>1846000</c:v>
                </c:pt>
                <c:pt idx="16">
                  <c:v>1844000</c:v>
                </c:pt>
                <c:pt idx="17">
                  <c:v>1846000</c:v>
                </c:pt>
                <c:pt idx="18">
                  <c:v>1846000</c:v>
                </c:pt>
                <c:pt idx="19">
                  <c:v>1846000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7A-460B-B4C5-C1D26CBF0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471712"/>
        <c:axId val="229471296"/>
      </c:lineChart>
      <c:catAx>
        <c:axId val="22947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9471296"/>
        <c:crosses val="autoZero"/>
        <c:auto val="1"/>
        <c:lblAlgn val="ctr"/>
        <c:lblOffset val="100"/>
        <c:noMultiLvlLbl val="0"/>
      </c:catAx>
      <c:valAx>
        <c:axId val="22947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947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run_2!$D$1</c:f>
              <c:strCache>
                <c:ptCount val="1"/>
                <c:pt idx="0">
                  <c:v>Throughput(Lookup(non-existing))(op/s)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run_2!$A$2:$A$22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run_2!$D$2:$D$22</c:f>
              <c:numCache>
                <c:formatCode>0.00E+00</c:formatCode>
                <c:ptCount val="21"/>
                <c:pt idx="1">
                  <c:v>12122000</c:v>
                </c:pt>
                <c:pt idx="2">
                  <c:v>11397000</c:v>
                </c:pt>
                <c:pt idx="3">
                  <c:v>10699000</c:v>
                </c:pt>
                <c:pt idx="4">
                  <c:v>10058000</c:v>
                </c:pt>
                <c:pt idx="5">
                  <c:v>9467000</c:v>
                </c:pt>
                <c:pt idx="6">
                  <c:v>8962000</c:v>
                </c:pt>
                <c:pt idx="7">
                  <c:v>8490000</c:v>
                </c:pt>
                <c:pt idx="8">
                  <c:v>8097000</c:v>
                </c:pt>
                <c:pt idx="9">
                  <c:v>7724000</c:v>
                </c:pt>
                <c:pt idx="10">
                  <c:v>7397000</c:v>
                </c:pt>
                <c:pt idx="11">
                  <c:v>7096000</c:v>
                </c:pt>
                <c:pt idx="12">
                  <c:v>6732000</c:v>
                </c:pt>
                <c:pt idx="13">
                  <c:v>6563000</c:v>
                </c:pt>
                <c:pt idx="14">
                  <c:v>6288000</c:v>
                </c:pt>
                <c:pt idx="15">
                  <c:v>6105000</c:v>
                </c:pt>
                <c:pt idx="16">
                  <c:v>5849000</c:v>
                </c:pt>
                <c:pt idx="17">
                  <c:v>5729000</c:v>
                </c:pt>
                <c:pt idx="18">
                  <c:v>5555000</c:v>
                </c:pt>
                <c:pt idx="19">
                  <c:v>5336000</c:v>
                </c:pt>
                <c:pt idx="20">
                  <c:v>5242000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9F-4308-B150-214606EF8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539024"/>
        <c:axId val="443532368"/>
      </c:scatterChart>
      <c:valAx>
        <c:axId val="44353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3532368"/>
        <c:crosses val="autoZero"/>
        <c:crossBetween val="midCat"/>
      </c:valAx>
      <c:valAx>
        <c:axId val="44353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353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FPR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run_2!$E$1</c:f>
              <c:strCache>
                <c:ptCount val="1"/>
                <c:pt idx="0">
                  <c:v>False Positive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run_2!$A$2:$A$22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run_2!$E$2:$E$22</c:f>
              <c:numCache>
                <c:formatCode>0.00E+00</c:formatCode>
                <c:ptCount val="21"/>
                <c:pt idx="1">
                  <c:v>2.1457699999999999E-6</c:v>
                </c:pt>
                <c:pt idx="2">
                  <c:v>6.9141399999999998E-6</c:v>
                </c:pt>
                <c:pt idx="3">
                  <c:v>1.28746E-5</c:v>
                </c:pt>
                <c:pt idx="4">
                  <c:v>2.00272E-5</c:v>
                </c:pt>
                <c:pt idx="5">
                  <c:v>3.3855400000000001E-5</c:v>
                </c:pt>
                <c:pt idx="6">
                  <c:v>5.3167300000000002E-5</c:v>
                </c:pt>
                <c:pt idx="7">
                  <c:v>8.1062299999999998E-5</c:v>
                </c:pt>
                <c:pt idx="8" formatCode="General">
                  <c:v>1.25647E-4</c:v>
                </c:pt>
                <c:pt idx="9" formatCode="General">
                  <c:v>1.8238999999999999E-4</c:v>
                </c:pt>
                <c:pt idx="10" formatCode="General">
                  <c:v>2.6035300000000001E-4</c:v>
                </c:pt>
                <c:pt idx="11" formatCode="General">
                  <c:v>3.5309799999999999E-4</c:v>
                </c:pt>
                <c:pt idx="12" formatCode="General">
                  <c:v>4.9757999999999996E-4</c:v>
                </c:pt>
                <c:pt idx="13" formatCode="General">
                  <c:v>6.7281700000000003E-4</c:v>
                </c:pt>
                <c:pt idx="14" formatCode="General">
                  <c:v>9.1338200000000002E-4</c:v>
                </c:pt>
                <c:pt idx="15" formatCode="General">
                  <c:v>1.2266600000000001E-3</c:v>
                </c:pt>
                <c:pt idx="16" formatCode="General">
                  <c:v>1.6152899999999999E-3</c:v>
                </c:pt>
                <c:pt idx="17" formatCode="General">
                  <c:v>2.0988000000000001E-3</c:v>
                </c:pt>
                <c:pt idx="18" formatCode="General">
                  <c:v>2.70009E-3</c:v>
                </c:pt>
                <c:pt idx="19" formatCode="General">
                  <c:v>3.4682799999999998E-3</c:v>
                </c:pt>
                <c:pt idx="20" formatCode="General">
                  <c:v>4.3807000000000004E-3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FD-4FDE-B297-5F4C0F141DEF}"/>
            </c:ext>
          </c:extLst>
        </c:ser>
        <c:ser>
          <c:idx val="1"/>
          <c:order val="1"/>
          <c:tx>
            <c:strRef>
              <c:f>run_2!$F$1</c:f>
              <c:strCache>
                <c:ptCount val="1"/>
                <c:pt idx="0">
                  <c:v>Expected FPR (k=9)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run_2!$A$2:$A$22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run_2!$F$2:$F$22</c:f>
              <c:numCache>
                <c:formatCode>General</c:formatCode>
                <c:ptCount val="21"/>
                <c:pt idx="1">
                  <c:v>6.1748022595840543E-14</c:v>
                </c:pt>
                <c:pt idx="2">
                  <c:v>2.7086200435346605E-11</c:v>
                </c:pt>
                <c:pt idx="3">
                  <c:v>8.9292632709705558E-10</c:v>
                </c:pt>
                <c:pt idx="4">
                  <c:v>1.0207079199119521E-8</c:v>
                </c:pt>
                <c:pt idx="5">
                  <c:v>6.5331056766674689E-8</c:v>
                </c:pt>
                <c:pt idx="6">
                  <c:v>2.898475425026483E-7</c:v>
                </c:pt>
                <c:pt idx="7">
                  <c:v>9.9884900129176924E-7</c:v>
                </c:pt>
                <c:pt idx="8">
                  <c:v>2.8617161501777325E-6</c:v>
                </c:pt>
                <c:pt idx="9">
                  <c:v>7.121773861336594E-6</c:v>
                </c:pt>
                <c:pt idx="10">
                  <c:v>1.5862946206156828E-5</c:v>
                </c:pt>
                <c:pt idx="11">
                  <c:v>3.2306147130348878E-5</c:v>
                </c:pt>
                <c:pt idx="12">
                  <c:v>6.11135858516658E-5</c:v>
                </c:pt>
                <c:pt idx="13">
                  <c:v>1.086776265316906E-4</c:v>
                </c:pt>
                <c:pt idx="14">
                  <c:v>1.8337199437556885E-4</c:v>
                </c:pt>
                <c:pt idx="15">
                  <c:v>2.9574635416371886E-4</c:v>
                </c:pt>
                <c:pt idx="16">
                  <c:v>4.5864988864139717E-4</c:v>
                </c:pt>
                <c:pt idx="17">
                  <c:v>6.872747827817231E-4</c:v>
                </c:pt>
                <c:pt idx="18">
                  <c:v>9.9911588393844964E-4</c:v>
                </c:pt>
                <c:pt idx="19">
                  <c:v>1.4138477997998773E-3</c:v>
                </c:pt>
                <c:pt idx="20">
                  <c:v>1.953125E-3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FD-4FDE-B297-5F4C0F141DEF}"/>
            </c:ext>
          </c:extLst>
        </c:ser>
        <c:ser>
          <c:idx val="2"/>
          <c:order val="2"/>
          <c:tx>
            <c:strRef>
              <c:f>run_2!$G$1</c:f>
              <c:strCache>
                <c:ptCount val="1"/>
                <c:pt idx="0">
                  <c:v>Config FPR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run_2!$A$2:$A$22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run_2!$G$2:$G$22</c:f>
              <c:numCache>
                <c:formatCode>General</c:formatCode>
                <c:ptCount val="21"/>
                <c:pt idx="1">
                  <c:v>1.953125E-3</c:v>
                </c:pt>
                <c:pt idx="2">
                  <c:v>1.953125E-3</c:v>
                </c:pt>
                <c:pt idx="3">
                  <c:v>1.953125E-3</c:v>
                </c:pt>
                <c:pt idx="4">
                  <c:v>1.953125E-3</c:v>
                </c:pt>
                <c:pt idx="5">
                  <c:v>1.953125E-3</c:v>
                </c:pt>
                <c:pt idx="6">
                  <c:v>1.953125E-3</c:v>
                </c:pt>
                <c:pt idx="7">
                  <c:v>1.953125E-3</c:v>
                </c:pt>
                <c:pt idx="8">
                  <c:v>1.953125E-3</c:v>
                </c:pt>
                <c:pt idx="9">
                  <c:v>1.953125E-3</c:v>
                </c:pt>
                <c:pt idx="10">
                  <c:v>1.953125E-3</c:v>
                </c:pt>
                <c:pt idx="11">
                  <c:v>1.953125E-3</c:v>
                </c:pt>
                <c:pt idx="12">
                  <c:v>1.953125E-3</c:v>
                </c:pt>
                <c:pt idx="13">
                  <c:v>1.953125E-3</c:v>
                </c:pt>
                <c:pt idx="14">
                  <c:v>1.953125E-3</c:v>
                </c:pt>
                <c:pt idx="15">
                  <c:v>1.953125E-3</c:v>
                </c:pt>
                <c:pt idx="16">
                  <c:v>1.953125E-3</c:v>
                </c:pt>
                <c:pt idx="17">
                  <c:v>1.953125E-3</c:v>
                </c:pt>
                <c:pt idx="18">
                  <c:v>1.953125E-3</c:v>
                </c:pt>
                <c:pt idx="19">
                  <c:v>1.953125E-3</c:v>
                </c:pt>
                <c:pt idx="20">
                  <c:v>1.953125E-3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FD-4FDE-B297-5F4C0F141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644255"/>
        <c:axId val="1377637183"/>
      </c:lineChart>
      <c:catAx>
        <c:axId val="137764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7637183"/>
        <c:crosses val="autoZero"/>
        <c:auto val="1"/>
        <c:lblAlgn val="ctr"/>
        <c:lblOffset val="100"/>
        <c:noMultiLvlLbl val="0"/>
      </c:catAx>
      <c:valAx>
        <c:axId val="137763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764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temp!$B$1</c:f>
              <c:strCache>
                <c:ptCount val="1"/>
                <c:pt idx="0">
                  <c:v>Throughput(Insert)(op/s)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temp!$A$2:$A$22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temp!$B$2:$B$22</c:f>
              <c:numCache>
                <c:formatCode>0.00E+00</c:formatCode>
                <c:ptCount val="21"/>
                <c:pt idx="0">
                  <c:v>1066000</c:v>
                </c:pt>
                <c:pt idx="1">
                  <c:v>1087000</c:v>
                </c:pt>
                <c:pt idx="2">
                  <c:v>1426000</c:v>
                </c:pt>
                <c:pt idx="3">
                  <c:v>1514000</c:v>
                </c:pt>
                <c:pt idx="4">
                  <c:v>1516000</c:v>
                </c:pt>
                <c:pt idx="5">
                  <c:v>1518000</c:v>
                </c:pt>
                <c:pt idx="6">
                  <c:v>1517000</c:v>
                </c:pt>
                <c:pt idx="7">
                  <c:v>1518000</c:v>
                </c:pt>
                <c:pt idx="8">
                  <c:v>1518000</c:v>
                </c:pt>
                <c:pt idx="9">
                  <c:v>1518000</c:v>
                </c:pt>
                <c:pt idx="10">
                  <c:v>1518000</c:v>
                </c:pt>
                <c:pt idx="11">
                  <c:v>1517000</c:v>
                </c:pt>
                <c:pt idx="12">
                  <c:v>1517000</c:v>
                </c:pt>
                <c:pt idx="13">
                  <c:v>1512000</c:v>
                </c:pt>
                <c:pt idx="14">
                  <c:v>1515000</c:v>
                </c:pt>
                <c:pt idx="15">
                  <c:v>1518000</c:v>
                </c:pt>
                <c:pt idx="16">
                  <c:v>1514000</c:v>
                </c:pt>
                <c:pt idx="17">
                  <c:v>1518000</c:v>
                </c:pt>
                <c:pt idx="18">
                  <c:v>1514000</c:v>
                </c:pt>
                <c:pt idx="19">
                  <c:v>1515000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22-4486-BE8F-2AE87F1D8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72256"/>
        <c:axId val="150560608"/>
      </c:scatterChart>
      <c:valAx>
        <c:axId val="15057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560608"/>
        <c:crosses val="autoZero"/>
        <c:crossBetween val="midCat"/>
      </c:valAx>
      <c:valAx>
        <c:axId val="15056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57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temp!$C$1</c:f>
              <c:strCache>
                <c:ptCount val="1"/>
                <c:pt idx="0">
                  <c:v>Throughput(Lookup existing)(op/s)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temp!$A$2:$A$22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temp!$C$2:$C$22</c:f>
              <c:numCache>
                <c:formatCode>0.00E+00</c:formatCode>
                <c:ptCount val="21"/>
                <c:pt idx="1">
                  <c:v>1150000</c:v>
                </c:pt>
                <c:pt idx="2">
                  <c:v>1153000</c:v>
                </c:pt>
                <c:pt idx="3">
                  <c:v>1645000</c:v>
                </c:pt>
                <c:pt idx="4">
                  <c:v>1652000</c:v>
                </c:pt>
                <c:pt idx="5">
                  <c:v>1652000</c:v>
                </c:pt>
                <c:pt idx="6">
                  <c:v>1652000</c:v>
                </c:pt>
                <c:pt idx="7">
                  <c:v>1649000</c:v>
                </c:pt>
                <c:pt idx="8">
                  <c:v>1646000</c:v>
                </c:pt>
                <c:pt idx="9">
                  <c:v>1648000</c:v>
                </c:pt>
                <c:pt idx="10">
                  <c:v>1652000</c:v>
                </c:pt>
                <c:pt idx="11">
                  <c:v>1621000</c:v>
                </c:pt>
                <c:pt idx="12">
                  <c:v>1648000</c:v>
                </c:pt>
                <c:pt idx="13">
                  <c:v>1653000</c:v>
                </c:pt>
                <c:pt idx="14">
                  <c:v>1646000</c:v>
                </c:pt>
                <c:pt idx="15">
                  <c:v>1651000</c:v>
                </c:pt>
                <c:pt idx="16">
                  <c:v>1652000</c:v>
                </c:pt>
                <c:pt idx="17">
                  <c:v>1648000</c:v>
                </c:pt>
                <c:pt idx="18">
                  <c:v>1652000</c:v>
                </c:pt>
                <c:pt idx="19">
                  <c:v>1652000</c:v>
                </c:pt>
                <c:pt idx="20">
                  <c:v>1652000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8F-4C4B-82C0-488628D87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86624"/>
        <c:axId val="240887456"/>
      </c:scatterChart>
      <c:valAx>
        <c:axId val="24088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887456"/>
        <c:crosses val="autoZero"/>
        <c:crossBetween val="midCat"/>
      </c:valAx>
      <c:valAx>
        <c:axId val="24088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88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temp!$D$1</c:f>
              <c:strCache>
                <c:ptCount val="1"/>
                <c:pt idx="0">
                  <c:v>Throughput(Lookup(non-existing))(op/s)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temp!$A$2:$A$22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temp!$D$2:$D$22</c:f>
              <c:numCache>
                <c:formatCode>0.00E+00</c:formatCode>
                <c:ptCount val="21"/>
                <c:pt idx="1">
                  <c:v>6678000</c:v>
                </c:pt>
                <c:pt idx="2">
                  <c:v>6405000</c:v>
                </c:pt>
                <c:pt idx="3">
                  <c:v>9289000</c:v>
                </c:pt>
                <c:pt idx="4">
                  <c:v>8862000</c:v>
                </c:pt>
                <c:pt idx="5">
                  <c:v>8473000</c:v>
                </c:pt>
                <c:pt idx="6">
                  <c:v>8062000</c:v>
                </c:pt>
                <c:pt idx="7">
                  <c:v>7735000</c:v>
                </c:pt>
                <c:pt idx="8">
                  <c:v>7394000</c:v>
                </c:pt>
                <c:pt idx="9">
                  <c:v>7022000</c:v>
                </c:pt>
                <c:pt idx="10">
                  <c:v>6600000</c:v>
                </c:pt>
                <c:pt idx="11">
                  <c:v>6528000</c:v>
                </c:pt>
                <c:pt idx="12">
                  <c:v>6250000</c:v>
                </c:pt>
                <c:pt idx="13">
                  <c:v>6043000</c:v>
                </c:pt>
                <c:pt idx="14">
                  <c:v>5825000</c:v>
                </c:pt>
                <c:pt idx="15">
                  <c:v>5635000</c:v>
                </c:pt>
                <c:pt idx="16">
                  <c:v>5500000</c:v>
                </c:pt>
                <c:pt idx="17">
                  <c:v>5341000</c:v>
                </c:pt>
                <c:pt idx="18">
                  <c:v>5189000</c:v>
                </c:pt>
                <c:pt idx="19">
                  <c:v>5087000</c:v>
                </c:pt>
                <c:pt idx="20">
                  <c:v>4985000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ED-40AA-B1EC-60F75E148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876544"/>
        <c:axId val="234877376"/>
      </c:scatterChart>
      <c:valAx>
        <c:axId val="23487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877376"/>
        <c:crosses val="autoZero"/>
        <c:crossBetween val="midCat"/>
      </c:valAx>
      <c:valAx>
        <c:axId val="23487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87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temp!$E$1</c:f>
              <c:strCache>
                <c:ptCount val="1"/>
                <c:pt idx="0">
                  <c:v>False Positive 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temp!$A$2:$A$22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temp!$E$2:$E$22</c:f>
              <c:numCache>
                <c:formatCode>0.00E+00</c:formatCode>
                <c:ptCount val="21"/>
                <c:pt idx="1">
                  <c:v>2.2053700000000001E-6</c:v>
                </c:pt>
                <c:pt idx="2">
                  <c:v>6.3180899999999998E-6</c:v>
                </c:pt>
                <c:pt idx="3">
                  <c:v>1.35303E-5</c:v>
                </c:pt>
                <c:pt idx="4">
                  <c:v>2.3007399999999999E-5</c:v>
                </c:pt>
                <c:pt idx="5">
                  <c:v>3.8325799999999998E-5</c:v>
                </c:pt>
                <c:pt idx="6">
                  <c:v>5.78761E-5</c:v>
                </c:pt>
                <c:pt idx="7">
                  <c:v>8.4698199999999995E-5</c:v>
                </c:pt>
                <c:pt idx="8" formatCode="General">
                  <c:v>1.22368E-4</c:v>
                </c:pt>
                <c:pt idx="9" formatCode="General">
                  <c:v>1.7535700000000001E-4</c:v>
                </c:pt>
                <c:pt idx="10" formatCode="General">
                  <c:v>2.4342499999999999E-4</c:v>
                </c:pt>
                <c:pt idx="11" formatCode="General">
                  <c:v>3.4254799999999997E-4</c:v>
                </c:pt>
                <c:pt idx="12" formatCode="General">
                  <c:v>4.7647999999999999E-4</c:v>
                </c:pt>
                <c:pt idx="13" formatCode="General">
                  <c:v>6.5481700000000003E-4</c:v>
                </c:pt>
                <c:pt idx="14" formatCode="General">
                  <c:v>8.8900299999999997E-4</c:v>
                </c:pt>
                <c:pt idx="15" formatCode="General">
                  <c:v>1.18786E-3</c:v>
                </c:pt>
                <c:pt idx="16" formatCode="General">
                  <c:v>1.5732599999999999E-3</c:v>
                </c:pt>
                <c:pt idx="17" formatCode="General">
                  <c:v>2.0660800000000001E-3</c:v>
                </c:pt>
                <c:pt idx="18" formatCode="General">
                  <c:v>2.6823300000000001E-3</c:v>
                </c:pt>
                <c:pt idx="19" formatCode="General">
                  <c:v>3.4318600000000001E-3</c:v>
                </c:pt>
                <c:pt idx="20" formatCode="General">
                  <c:v>4.3513199999999997E-3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7A-4D40-BD63-23080A439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871600"/>
        <c:axId val="239874096"/>
      </c:scatterChart>
      <c:valAx>
        <c:axId val="23987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9874096"/>
        <c:crosses val="autoZero"/>
        <c:crossBetween val="midCat"/>
      </c:valAx>
      <c:valAx>
        <c:axId val="2398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98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627993</xdr:colOff>
      <xdr:row>22</xdr:row>
      <xdr:rowOff>57807</xdr:rowOff>
    </xdr:from>
    <xdr:to>
      <xdr:col>3</xdr:col>
      <xdr:colOff>1881352</xdr:colOff>
      <xdr:row>37</xdr:row>
      <xdr:rowOff>31531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FBC44B6-C2C6-4288-A3E1-9F7CAFE2A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34158</xdr:colOff>
      <xdr:row>22</xdr:row>
      <xdr:rowOff>68318</xdr:rowOff>
    </xdr:from>
    <xdr:to>
      <xdr:col>2</xdr:col>
      <xdr:colOff>599090</xdr:colOff>
      <xdr:row>37</xdr:row>
      <xdr:rowOff>21020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F062CDD-18EF-443D-8515-1EDE6D25C5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1905000</xdr:colOff>
      <xdr:row>22</xdr:row>
      <xdr:rowOff>68319</xdr:rowOff>
    </xdr:from>
    <xdr:to>
      <xdr:col>7</xdr:col>
      <xdr:colOff>310055</xdr:colOff>
      <xdr:row>37</xdr:row>
      <xdr:rowOff>31531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131C6FC-C815-4746-B29F-CC7E6FCC61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68317</xdr:colOff>
      <xdr:row>6</xdr:row>
      <xdr:rowOff>26276</xdr:rowOff>
    </xdr:from>
    <xdr:to>
      <xdr:col>14</xdr:col>
      <xdr:colOff>91966</xdr:colOff>
      <xdr:row>21</xdr:row>
      <xdr:rowOff>94592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E97CCB9-2493-45A6-A152-2D67D72CB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57826</xdr:rowOff>
    </xdr:from>
    <xdr:to>
      <xdr:col>2</xdr:col>
      <xdr:colOff>675531</xdr:colOff>
      <xdr:row>34</xdr:row>
      <xdr:rowOff>54042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4F3CC26-FC23-444C-8777-19DFBD683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705255</xdr:colOff>
      <xdr:row>22</xdr:row>
      <xdr:rowOff>68632</xdr:rowOff>
    </xdr:from>
    <xdr:to>
      <xdr:col>3</xdr:col>
      <xdr:colOff>1848255</xdr:colOff>
      <xdr:row>34</xdr:row>
      <xdr:rowOff>48637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B2C526E-B3C9-48A2-987D-634C8C85D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1877978</xdr:colOff>
      <xdr:row>22</xdr:row>
      <xdr:rowOff>68633</xdr:rowOff>
    </xdr:from>
    <xdr:to>
      <xdr:col>7</xdr:col>
      <xdr:colOff>367489</xdr:colOff>
      <xdr:row>34</xdr:row>
      <xdr:rowOff>81064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2D1BE17D-48FA-4ADC-85B8-35C9DEEFC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13512</xdr:colOff>
      <xdr:row>3</xdr:row>
      <xdr:rowOff>113490</xdr:rowOff>
    </xdr:from>
    <xdr:to>
      <xdr:col>8</xdr:col>
      <xdr:colOff>383703</xdr:colOff>
      <xdr:row>21</xdr:row>
      <xdr:rowOff>129703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14440778-3414-4E6E-9FFA-B80053EAD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C9CB-E6BA-4F5F-BF3B-981739B0F168}">
  <dimension ref="A1:G22"/>
  <sheetViews>
    <sheetView zoomScale="145" zoomScaleNormal="145" workbookViewId="0">
      <selection activeCell="F8" sqref="F8"/>
    </sheetView>
  </sheetViews>
  <sheetFormatPr defaultRowHeight="13.8" x14ac:dyDescent="0.25"/>
  <cols>
    <col min="1" max="1" width="15.109375" customWidth="1"/>
    <col min="2" max="2" width="23.77734375" customWidth="1"/>
    <col min="3" max="3" width="34" customWidth="1"/>
    <col min="4" max="4" width="38.77734375" customWidth="1"/>
    <col min="5" max="5" width="19.5546875" customWidth="1"/>
    <col min="6" max="6" width="23.5546875" customWidth="1"/>
    <col min="7" max="7" width="11.33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25">
      <c r="A2">
        <v>0</v>
      </c>
      <c r="B2" s="1">
        <v>1792000</v>
      </c>
    </row>
    <row r="3" spans="1:7" x14ac:dyDescent="0.25">
      <c r="A3">
        <v>5</v>
      </c>
      <c r="B3" s="1">
        <v>1846000</v>
      </c>
      <c r="C3" s="1">
        <v>1866000</v>
      </c>
      <c r="D3" s="1">
        <v>12122000</v>
      </c>
      <c r="E3" s="1">
        <v>2.1457699999999999E-6</v>
      </c>
      <c r="F3">
        <f>(1-EXP(-LN(2)*A3/100))^9</f>
        <v>6.1748022595840543E-14</v>
      </c>
      <c r="G3">
        <f t="shared" ref="G3:G22" si="0">1/512</f>
        <v>1.953125E-3</v>
      </c>
    </row>
    <row r="4" spans="1:7" x14ac:dyDescent="0.25">
      <c r="A4">
        <v>10</v>
      </c>
      <c r="B4" s="1">
        <v>1846000</v>
      </c>
      <c r="C4" s="1">
        <v>1864000</v>
      </c>
      <c r="D4" s="1">
        <v>11397000</v>
      </c>
      <c r="E4" s="1">
        <v>6.9141399999999998E-6</v>
      </c>
      <c r="F4">
        <f t="shared" ref="F4:F22" si="1">(1-EXP(-LN(2)*A4/100))^9</f>
        <v>2.7086200435346605E-11</v>
      </c>
      <c r="G4">
        <f t="shared" si="0"/>
        <v>1.953125E-3</v>
      </c>
    </row>
    <row r="5" spans="1:7" x14ac:dyDescent="0.25">
      <c r="A5">
        <v>15</v>
      </c>
      <c r="B5" s="1">
        <v>1846000</v>
      </c>
      <c r="C5" s="1">
        <v>1866000</v>
      </c>
      <c r="D5" s="1">
        <v>10699000</v>
      </c>
      <c r="E5" s="1">
        <v>1.28746E-5</v>
      </c>
      <c r="F5">
        <f t="shared" si="1"/>
        <v>8.9292632709705558E-10</v>
      </c>
      <c r="G5">
        <f t="shared" si="0"/>
        <v>1.953125E-3</v>
      </c>
    </row>
    <row r="6" spans="1:7" x14ac:dyDescent="0.25">
      <c r="A6">
        <v>20</v>
      </c>
      <c r="B6" s="1">
        <v>1845000</v>
      </c>
      <c r="C6" s="1">
        <v>1867000</v>
      </c>
      <c r="D6" s="1">
        <v>10058000</v>
      </c>
      <c r="E6" s="1">
        <v>2.00272E-5</v>
      </c>
      <c r="F6">
        <f t="shared" si="1"/>
        <v>1.0207079199119521E-8</v>
      </c>
      <c r="G6">
        <f t="shared" si="0"/>
        <v>1.953125E-3</v>
      </c>
    </row>
    <row r="7" spans="1:7" x14ac:dyDescent="0.25">
      <c r="A7">
        <v>25</v>
      </c>
      <c r="B7" s="1">
        <v>1845000</v>
      </c>
      <c r="C7" s="1">
        <v>1867000</v>
      </c>
      <c r="D7" s="1">
        <v>9467000</v>
      </c>
      <c r="E7" s="1">
        <v>3.3855400000000001E-5</v>
      </c>
      <c r="F7">
        <f t="shared" si="1"/>
        <v>6.5331056766674689E-8</v>
      </c>
      <c r="G7">
        <f t="shared" si="0"/>
        <v>1.953125E-3</v>
      </c>
    </row>
    <row r="8" spans="1:7" x14ac:dyDescent="0.25">
      <c r="A8">
        <v>30</v>
      </c>
      <c r="B8" s="1">
        <v>1847000</v>
      </c>
      <c r="C8" s="1">
        <v>1867000</v>
      </c>
      <c r="D8" s="1">
        <v>8962000</v>
      </c>
      <c r="E8" s="1">
        <v>5.3167300000000002E-5</v>
      </c>
      <c r="F8">
        <f t="shared" si="1"/>
        <v>2.898475425026483E-7</v>
      </c>
      <c r="G8">
        <f t="shared" si="0"/>
        <v>1.953125E-3</v>
      </c>
    </row>
    <row r="9" spans="1:7" x14ac:dyDescent="0.25">
      <c r="A9">
        <v>35</v>
      </c>
      <c r="B9" s="1">
        <v>1846000</v>
      </c>
      <c r="C9" s="1">
        <v>1863000</v>
      </c>
      <c r="D9" s="1">
        <v>8490000</v>
      </c>
      <c r="E9" s="1">
        <v>8.1062299999999998E-5</v>
      </c>
      <c r="F9">
        <f t="shared" si="1"/>
        <v>9.9884900129176924E-7</v>
      </c>
      <c r="G9">
        <f t="shared" si="0"/>
        <v>1.953125E-3</v>
      </c>
    </row>
    <row r="10" spans="1:7" x14ac:dyDescent="0.25">
      <c r="A10">
        <v>40</v>
      </c>
      <c r="B10" s="1">
        <v>1847000</v>
      </c>
      <c r="C10" s="1">
        <v>1854000</v>
      </c>
      <c r="D10" s="1">
        <v>8097000</v>
      </c>
      <c r="E10">
        <v>1.25647E-4</v>
      </c>
      <c r="F10">
        <f t="shared" si="1"/>
        <v>2.8617161501777325E-6</v>
      </c>
      <c r="G10">
        <f t="shared" si="0"/>
        <v>1.953125E-3</v>
      </c>
    </row>
    <row r="11" spans="1:7" x14ac:dyDescent="0.25">
      <c r="A11">
        <v>45</v>
      </c>
      <c r="B11" s="1">
        <v>1847000</v>
      </c>
      <c r="C11" s="1">
        <v>1854000</v>
      </c>
      <c r="D11" s="1">
        <v>7724000</v>
      </c>
      <c r="E11">
        <v>1.8238999999999999E-4</v>
      </c>
      <c r="F11">
        <f t="shared" si="1"/>
        <v>7.121773861336594E-6</v>
      </c>
      <c r="G11">
        <f t="shared" si="0"/>
        <v>1.953125E-3</v>
      </c>
    </row>
    <row r="12" spans="1:7" x14ac:dyDescent="0.25">
      <c r="A12">
        <v>50</v>
      </c>
      <c r="B12" s="1">
        <v>1846000</v>
      </c>
      <c r="C12" s="1">
        <v>1863000</v>
      </c>
      <c r="D12" s="1">
        <v>7397000</v>
      </c>
      <c r="E12">
        <v>2.6035300000000001E-4</v>
      </c>
      <c r="F12">
        <f t="shared" si="1"/>
        <v>1.5862946206156828E-5</v>
      </c>
      <c r="G12">
        <f t="shared" si="0"/>
        <v>1.953125E-3</v>
      </c>
    </row>
    <row r="13" spans="1:7" x14ac:dyDescent="0.25">
      <c r="A13">
        <v>55</v>
      </c>
      <c r="B13" s="1">
        <v>1847000</v>
      </c>
      <c r="C13" s="1">
        <v>1863000</v>
      </c>
      <c r="D13" s="1">
        <v>7096000</v>
      </c>
      <c r="E13">
        <v>3.5309799999999999E-4</v>
      </c>
      <c r="F13">
        <f t="shared" si="1"/>
        <v>3.2306147130348878E-5</v>
      </c>
      <c r="G13">
        <f t="shared" si="0"/>
        <v>1.953125E-3</v>
      </c>
    </row>
    <row r="14" spans="1:7" x14ac:dyDescent="0.25">
      <c r="A14">
        <v>60</v>
      </c>
      <c r="B14" s="1">
        <v>1846000</v>
      </c>
      <c r="C14" s="1">
        <v>1842000</v>
      </c>
      <c r="D14" s="1">
        <v>6732000</v>
      </c>
      <c r="E14">
        <v>4.9757999999999996E-4</v>
      </c>
      <c r="F14">
        <f t="shared" si="1"/>
        <v>6.11135858516658E-5</v>
      </c>
      <c r="G14">
        <f t="shared" si="0"/>
        <v>1.953125E-3</v>
      </c>
    </row>
    <row r="15" spans="1:7" x14ac:dyDescent="0.25">
      <c r="A15">
        <v>65</v>
      </c>
      <c r="B15" s="1">
        <v>1846000</v>
      </c>
      <c r="C15" s="1">
        <v>1867000</v>
      </c>
      <c r="D15" s="1">
        <v>6563000</v>
      </c>
      <c r="E15">
        <v>6.7281700000000003E-4</v>
      </c>
      <c r="F15">
        <f t="shared" si="1"/>
        <v>1.086776265316906E-4</v>
      </c>
      <c r="G15">
        <f t="shared" si="0"/>
        <v>1.953125E-3</v>
      </c>
    </row>
    <row r="16" spans="1:7" x14ac:dyDescent="0.25">
      <c r="A16">
        <v>70</v>
      </c>
      <c r="B16" s="1">
        <v>1846000</v>
      </c>
      <c r="C16" s="1">
        <v>1866000</v>
      </c>
      <c r="D16" s="1">
        <v>6288000</v>
      </c>
      <c r="E16">
        <v>9.1338200000000002E-4</v>
      </c>
      <c r="F16">
        <f t="shared" si="1"/>
        <v>1.8337199437556885E-4</v>
      </c>
      <c r="G16">
        <f t="shared" si="0"/>
        <v>1.953125E-3</v>
      </c>
    </row>
    <row r="17" spans="1:7" x14ac:dyDescent="0.25">
      <c r="A17">
        <v>75</v>
      </c>
      <c r="B17" s="1">
        <v>1846000</v>
      </c>
      <c r="C17" s="1">
        <v>1857000</v>
      </c>
      <c r="D17" s="1">
        <v>6105000</v>
      </c>
      <c r="E17">
        <v>1.2266600000000001E-3</v>
      </c>
      <c r="F17">
        <f t="shared" si="1"/>
        <v>2.9574635416371886E-4</v>
      </c>
      <c r="G17">
        <f t="shared" si="0"/>
        <v>1.953125E-3</v>
      </c>
    </row>
    <row r="18" spans="1:7" x14ac:dyDescent="0.25">
      <c r="A18">
        <v>80</v>
      </c>
      <c r="B18" s="1">
        <v>1844000</v>
      </c>
      <c r="C18" s="1">
        <v>1847000</v>
      </c>
      <c r="D18" s="1">
        <v>5849000</v>
      </c>
      <c r="E18">
        <v>1.6152899999999999E-3</v>
      </c>
      <c r="F18">
        <f t="shared" si="1"/>
        <v>4.5864988864139717E-4</v>
      </c>
      <c r="G18">
        <f t="shared" si="0"/>
        <v>1.953125E-3</v>
      </c>
    </row>
    <row r="19" spans="1:7" x14ac:dyDescent="0.25">
      <c r="A19">
        <v>85</v>
      </c>
      <c r="B19" s="1">
        <v>1846000</v>
      </c>
      <c r="C19" s="1">
        <v>1868000</v>
      </c>
      <c r="D19" s="1">
        <v>5729000</v>
      </c>
      <c r="E19">
        <v>2.0988000000000001E-3</v>
      </c>
      <c r="F19">
        <f t="shared" si="1"/>
        <v>6.872747827817231E-4</v>
      </c>
      <c r="G19">
        <f t="shared" si="0"/>
        <v>1.953125E-3</v>
      </c>
    </row>
    <row r="20" spans="1:7" x14ac:dyDescent="0.25">
      <c r="A20">
        <v>90</v>
      </c>
      <c r="B20" s="1">
        <v>1846000</v>
      </c>
      <c r="C20" s="1">
        <v>1857000</v>
      </c>
      <c r="D20" s="1">
        <v>5555000</v>
      </c>
      <c r="E20">
        <v>2.70009E-3</v>
      </c>
      <c r="F20">
        <f t="shared" si="1"/>
        <v>9.9911588393844964E-4</v>
      </c>
      <c r="G20">
        <f t="shared" si="0"/>
        <v>1.953125E-3</v>
      </c>
    </row>
    <row r="21" spans="1:7" x14ac:dyDescent="0.25">
      <c r="A21">
        <v>95</v>
      </c>
      <c r="B21" s="1">
        <v>1846000</v>
      </c>
      <c r="C21" s="1">
        <v>1842000</v>
      </c>
      <c r="D21" s="1">
        <v>5336000</v>
      </c>
      <c r="E21">
        <v>3.4682799999999998E-3</v>
      </c>
      <c r="F21">
        <f t="shared" si="1"/>
        <v>1.4138477997998773E-3</v>
      </c>
      <c r="G21">
        <f t="shared" si="0"/>
        <v>1.953125E-3</v>
      </c>
    </row>
    <row r="22" spans="1:7" x14ac:dyDescent="0.25">
      <c r="A22">
        <v>100</v>
      </c>
      <c r="C22" s="1">
        <v>1866000</v>
      </c>
      <c r="D22" s="1">
        <v>5242000</v>
      </c>
      <c r="E22">
        <v>4.3807000000000004E-3</v>
      </c>
      <c r="F22">
        <f t="shared" si="1"/>
        <v>1.953125E-3</v>
      </c>
      <c r="G22">
        <f t="shared" si="0"/>
        <v>1.953125E-3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zoomScale="141" workbookViewId="0">
      <selection sqref="A1:XFD1"/>
    </sheetView>
  </sheetViews>
  <sheetFormatPr defaultRowHeight="13.8" x14ac:dyDescent="0.25"/>
  <cols>
    <col min="1" max="1" width="14.5546875" customWidth="1"/>
    <col min="2" max="2" width="23.44140625" customWidth="1"/>
    <col min="3" max="3" width="33.109375" customWidth="1"/>
    <col min="4" max="4" width="38.33203125" customWidth="1"/>
    <col min="5" max="5" width="16.77734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 s="1">
        <v>1066000</v>
      </c>
    </row>
    <row r="3" spans="1:5" x14ac:dyDescent="0.25">
      <c r="A3">
        <v>5</v>
      </c>
      <c r="B3" s="1">
        <v>1087000</v>
      </c>
      <c r="C3" s="1">
        <v>1150000</v>
      </c>
      <c r="D3" s="1">
        <v>6678000</v>
      </c>
      <c r="E3" s="1">
        <v>2.2053700000000001E-6</v>
      </c>
    </row>
    <row r="4" spans="1:5" x14ac:dyDescent="0.25">
      <c r="A4">
        <v>10</v>
      </c>
      <c r="B4" s="1">
        <v>1426000</v>
      </c>
      <c r="C4" s="1">
        <v>1153000</v>
      </c>
      <c r="D4" s="1">
        <v>6405000</v>
      </c>
      <c r="E4" s="1">
        <v>6.3180899999999998E-6</v>
      </c>
    </row>
    <row r="5" spans="1:5" x14ac:dyDescent="0.25">
      <c r="A5">
        <v>15</v>
      </c>
      <c r="B5" s="1">
        <v>1514000</v>
      </c>
      <c r="C5" s="1">
        <v>1645000</v>
      </c>
      <c r="D5" s="1">
        <v>9289000</v>
      </c>
      <c r="E5" s="1">
        <v>1.35303E-5</v>
      </c>
    </row>
    <row r="6" spans="1:5" x14ac:dyDescent="0.25">
      <c r="A6">
        <v>20</v>
      </c>
      <c r="B6" s="1">
        <v>1516000</v>
      </c>
      <c r="C6" s="1">
        <v>1652000</v>
      </c>
      <c r="D6" s="1">
        <v>8862000</v>
      </c>
      <c r="E6" s="1">
        <v>2.3007399999999999E-5</v>
      </c>
    </row>
    <row r="7" spans="1:5" x14ac:dyDescent="0.25">
      <c r="A7">
        <v>25</v>
      </c>
      <c r="B7" s="1">
        <v>1518000</v>
      </c>
      <c r="C7" s="1">
        <v>1652000</v>
      </c>
      <c r="D7" s="1">
        <v>8473000</v>
      </c>
      <c r="E7" s="1">
        <v>3.8325799999999998E-5</v>
      </c>
    </row>
    <row r="8" spans="1:5" x14ac:dyDescent="0.25">
      <c r="A8">
        <v>30</v>
      </c>
      <c r="B8" s="1">
        <v>1517000</v>
      </c>
      <c r="C8" s="1">
        <v>1652000</v>
      </c>
      <c r="D8" s="1">
        <v>8062000</v>
      </c>
      <c r="E8" s="1">
        <v>5.78761E-5</v>
      </c>
    </row>
    <row r="9" spans="1:5" x14ac:dyDescent="0.25">
      <c r="A9">
        <v>35</v>
      </c>
      <c r="B9" s="1">
        <v>1518000</v>
      </c>
      <c r="C9" s="1">
        <v>1649000</v>
      </c>
      <c r="D9" s="1">
        <v>7735000</v>
      </c>
      <c r="E9" s="1">
        <v>8.4698199999999995E-5</v>
      </c>
    </row>
    <row r="10" spans="1:5" x14ac:dyDescent="0.25">
      <c r="A10">
        <v>40</v>
      </c>
      <c r="B10" s="1">
        <v>1518000</v>
      </c>
      <c r="C10" s="1">
        <v>1646000</v>
      </c>
      <c r="D10" s="1">
        <v>7394000</v>
      </c>
      <c r="E10">
        <v>1.22368E-4</v>
      </c>
    </row>
    <row r="11" spans="1:5" x14ac:dyDescent="0.25">
      <c r="A11">
        <v>45</v>
      </c>
      <c r="B11" s="1">
        <v>1518000</v>
      </c>
      <c r="C11" s="1">
        <v>1648000</v>
      </c>
      <c r="D11" s="1">
        <v>7022000</v>
      </c>
      <c r="E11">
        <v>1.7535700000000001E-4</v>
      </c>
    </row>
    <row r="12" spans="1:5" x14ac:dyDescent="0.25">
      <c r="A12">
        <v>50</v>
      </c>
      <c r="B12" s="1">
        <v>1518000</v>
      </c>
      <c r="C12" s="1">
        <v>1652000</v>
      </c>
      <c r="D12" s="1">
        <v>6600000</v>
      </c>
      <c r="E12">
        <v>2.4342499999999999E-4</v>
      </c>
    </row>
    <row r="13" spans="1:5" x14ac:dyDescent="0.25">
      <c r="A13">
        <v>55</v>
      </c>
      <c r="B13" s="1">
        <v>1517000</v>
      </c>
      <c r="C13" s="1">
        <v>1621000</v>
      </c>
      <c r="D13" s="1">
        <v>6528000</v>
      </c>
      <c r="E13">
        <v>3.4254799999999997E-4</v>
      </c>
    </row>
    <row r="14" spans="1:5" x14ac:dyDescent="0.25">
      <c r="A14">
        <v>60</v>
      </c>
      <c r="B14" s="1">
        <v>1517000</v>
      </c>
      <c r="C14" s="1">
        <v>1648000</v>
      </c>
      <c r="D14" s="1">
        <v>6250000</v>
      </c>
      <c r="E14">
        <v>4.7647999999999999E-4</v>
      </c>
    </row>
    <row r="15" spans="1:5" x14ac:dyDescent="0.25">
      <c r="A15">
        <v>65</v>
      </c>
      <c r="B15" s="1">
        <v>1512000</v>
      </c>
      <c r="C15" s="1">
        <v>1653000</v>
      </c>
      <c r="D15" s="1">
        <v>6043000</v>
      </c>
      <c r="E15">
        <v>6.5481700000000003E-4</v>
      </c>
    </row>
    <row r="16" spans="1:5" x14ac:dyDescent="0.25">
      <c r="A16">
        <v>70</v>
      </c>
      <c r="B16" s="1">
        <v>1515000</v>
      </c>
      <c r="C16" s="1">
        <v>1646000</v>
      </c>
      <c r="D16" s="1">
        <v>5825000</v>
      </c>
      <c r="E16">
        <v>8.8900299999999997E-4</v>
      </c>
    </row>
    <row r="17" spans="1:5" x14ac:dyDescent="0.25">
      <c r="A17">
        <v>75</v>
      </c>
      <c r="B17" s="1">
        <v>1518000</v>
      </c>
      <c r="C17" s="1">
        <v>1651000</v>
      </c>
      <c r="D17" s="1">
        <v>5635000</v>
      </c>
      <c r="E17">
        <v>1.18786E-3</v>
      </c>
    </row>
    <row r="18" spans="1:5" x14ac:dyDescent="0.25">
      <c r="A18">
        <v>80</v>
      </c>
      <c r="B18" s="1">
        <v>1514000</v>
      </c>
      <c r="C18" s="1">
        <v>1652000</v>
      </c>
      <c r="D18" s="1">
        <v>5500000</v>
      </c>
      <c r="E18">
        <v>1.5732599999999999E-3</v>
      </c>
    </row>
    <row r="19" spans="1:5" x14ac:dyDescent="0.25">
      <c r="A19">
        <v>85</v>
      </c>
      <c r="B19" s="1">
        <v>1518000</v>
      </c>
      <c r="C19" s="1">
        <v>1648000</v>
      </c>
      <c r="D19" s="1">
        <v>5341000</v>
      </c>
      <c r="E19">
        <v>2.0660800000000001E-3</v>
      </c>
    </row>
    <row r="20" spans="1:5" x14ac:dyDescent="0.25">
      <c r="A20">
        <v>90</v>
      </c>
      <c r="B20" s="1">
        <v>1514000</v>
      </c>
      <c r="C20" s="1">
        <v>1652000</v>
      </c>
      <c r="D20" s="1">
        <v>5189000</v>
      </c>
      <c r="E20">
        <v>2.6823300000000001E-3</v>
      </c>
    </row>
    <row r="21" spans="1:5" x14ac:dyDescent="0.25">
      <c r="A21">
        <v>95</v>
      </c>
      <c r="B21" s="1">
        <v>1515000</v>
      </c>
      <c r="C21" s="1">
        <v>1652000</v>
      </c>
      <c r="D21" s="1">
        <v>5087000</v>
      </c>
      <c r="E21">
        <v>3.4318600000000001E-3</v>
      </c>
    </row>
    <row r="22" spans="1:5" x14ac:dyDescent="0.25">
      <c r="A22">
        <v>100</v>
      </c>
      <c r="C22" s="1">
        <v>1652000</v>
      </c>
      <c r="D22" s="1">
        <v>4985000</v>
      </c>
      <c r="E22">
        <v>4.3513199999999997E-3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94FE-23C4-4213-A990-DCB0F0D4923A}">
  <dimension ref="A1:F21"/>
  <sheetViews>
    <sheetView tabSelected="1" zoomScale="190" zoomScaleNormal="190" workbookViewId="0">
      <selection activeCell="D17" sqref="D17"/>
    </sheetView>
  </sheetViews>
  <sheetFormatPr defaultRowHeight="13.8" x14ac:dyDescent="0.25"/>
  <cols>
    <col min="2" max="2" width="17.77734375" customWidth="1"/>
    <col min="3" max="3" width="26.21875" customWidth="1"/>
    <col min="4" max="4" width="31.109375" customWidth="1"/>
    <col min="5" max="5" width="18.109375" customWidth="1"/>
    <col min="6" max="6" width="17.88671875" customWidth="1"/>
  </cols>
  <sheetData>
    <row r="1" spans="1:6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 x14ac:dyDescent="0.25">
      <c r="A2" s="2">
        <v>5</v>
      </c>
      <c r="B2" s="2">
        <v>30504000</v>
      </c>
      <c r="C2" s="2">
        <v>25228000</v>
      </c>
      <c r="D2" s="2">
        <v>25068000</v>
      </c>
      <c r="E2" s="3">
        <v>2.6971099999999998E-6</v>
      </c>
      <c r="F2" s="2">
        <v>22075000</v>
      </c>
    </row>
    <row r="3" spans="1:6" x14ac:dyDescent="0.25">
      <c r="A3" s="2">
        <v>10</v>
      </c>
      <c r="B3" s="2">
        <v>29433000</v>
      </c>
      <c r="C3" s="2">
        <v>25228000</v>
      </c>
      <c r="D3" s="2">
        <v>25068000</v>
      </c>
      <c r="E3" s="3">
        <v>6.0945699999999997E-6</v>
      </c>
      <c r="F3" s="2">
        <v>22221000</v>
      </c>
    </row>
    <row r="4" spans="1:6" x14ac:dyDescent="0.25">
      <c r="A4" s="2">
        <v>15</v>
      </c>
      <c r="B4" s="2">
        <v>28435000</v>
      </c>
      <c r="C4" s="2">
        <v>25228000</v>
      </c>
      <c r="D4" s="2">
        <v>25143000</v>
      </c>
      <c r="E4" s="3">
        <v>9.3877300000000003E-6</v>
      </c>
      <c r="F4" s="2">
        <v>22826000</v>
      </c>
    </row>
    <row r="5" spans="1:6" x14ac:dyDescent="0.25">
      <c r="A5" s="2">
        <v>20</v>
      </c>
      <c r="B5" s="2">
        <v>27280000</v>
      </c>
      <c r="C5" s="2">
        <v>25228000</v>
      </c>
      <c r="D5" s="2">
        <v>24901000</v>
      </c>
      <c r="E5" s="3">
        <v>1.2263700000000001E-5</v>
      </c>
      <c r="F5" s="2">
        <v>23301000</v>
      </c>
    </row>
    <row r="6" spans="1:6" x14ac:dyDescent="0.25">
      <c r="A6" s="2">
        <v>25</v>
      </c>
      <c r="B6" s="2">
        <v>26420000</v>
      </c>
      <c r="C6" s="2">
        <v>25228000</v>
      </c>
      <c r="D6" s="2">
        <v>24947000</v>
      </c>
      <c r="E6" s="3">
        <v>1.5437599999999999E-5</v>
      </c>
      <c r="F6" s="2">
        <v>23629000</v>
      </c>
    </row>
    <row r="7" spans="1:6" x14ac:dyDescent="0.25">
      <c r="A7" s="2">
        <v>30</v>
      </c>
      <c r="B7" s="2">
        <v>25228000</v>
      </c>
      <c r="C7" s="2">
        <v>25228000</v>
      </c>
      <c r="D7" s="2">
        <v>25040000</v>
      </c>
      <c r="E7" s="3">
        <v>1.87755E-5</v>
      </c>
      <c r="F7" s="2">
        <v>23967000</v>
      </c>
    </row>
    <row r="8" spans="1:6" x14ac:dyDescent="0.25">
      <c r="A8" s="2">
        <v>35</v>
      </c>
      <c r="B8" s="2">
        <v>25228000</v>
      </c>
      <c r="C8" s="2">
        <v>25228000</v>
      </c>
      <c r="D8" s="2">
        <v>25257000</v>
      </c>
      <c r="E8" s="3">
        <v>2.1487500000000001E-5</v>
      </c>
      <c r="F8" s="2">
        <v>24492000</v>
      </c>
    </row>
    <row r="9" spans="1:6" x14ac:dyDescent="0.25">
      <c r="A9" s="2">
        <v>40</v>
      </c>
      <c r="B9" s="2">
        <v>24672000</v>
      </c>
      <c r="C9" s="2">
        <v>25228000</v>
      </c>
      <c r="D9" s="2">
        <v>25096000</v>
      </c>
      <c r="E9" s="3">
        <v>2.4423E-5</v>
      </c>
      <c r="F9" s="2">
        <v>24855000</v>
      </c>
    </row>
    <row r="10" spans="1:6" x14ac:dyDescent="0.25">
      <c r="A10" s="2">
        <v>45</v>
      </c>
      <c r="B10" s="2">
        <v>24139000</v>
      </c>
      <c r="C10" s="2">
        <v>25228000</v>
      </c>
      <c r="D10" s="2">
        <v>25087000</v>
      </c>
      <c r="E10" s="3">
        <v>2.7209500000000001E-5</v>
      </c>
      <c r="F10" s="2">
        <v>25228000</v>
      </c>
    </row>
    <row r="11" spans="1:6" x14ac:dyDescent="0.25">
      <c r="A11" s="2">
        <v>50</v>
      </c>
      <c r="B11" s="2">
        <v>23797000</v>
      </c>
      <c r="C11" s="2">
        <v>25228000</v>
      </c>
      <c r="D11" s="2">
        <v>25078000</v>
      </c>
      <c r="E11" s="3">
        <v>3.0472900000000001E-5</v>
      </c>
      <c r="F11" s="2">
        <v>24139000</v>
      </c>
    </row>
    <row r="12" spans="1:6" x14ac:dyDescent="0.25">
      <c r="A12" s="2">
        <v>55</v>
      </c>
      <c r="B12" s="2">
        <v>23140000</v>
      </c>
      <c r="C12" s="2">
        <v>25420000</v>
      </c>
      <c r="D12" s="2">
        <v>24892000</v>
      </c>
      <c r="E12" s="3">
        <v>3.3617E-5</v>
      </c>
      <c r="F12" s="2">
        <v>26011000</v>
      </c>
    </row>
    <row r="13" spans="1:6" x14ac:dyDescent="0.25">
      <c r="A13" s="2">
        <v>60</v>
      </c>
      <c r="B13" s="2">
        <v>22221000</v>
      </c>
      <c r="C13" s="2">
        <v>25228000</v>
      </c>
      <c r="D13" s="2">
        <v>25059000</v>
      </c>
      <c r="E13" s="3">
        <v>3.6612200000000002E-5</v>
      </c>
      <c r="F13" s="2">
        <v>26630000</v>
      </c>
    </row>
    <row r="14" spans="1:6" x14ac:dyDescent="0.25">
      <c r="A14" s="2">
        <v>65</v>
      </c>
      <c r="B14" s="2">
        <v>21648000</v>
      </c>
      <c r="C14" s="2">
        <v>25228000</v>
      </c>
      <c r="D14" s="2">
        <v>25049000</v>
      </c>
      <c r="E14" s="3">
        <v>3.99798E-5</v>
      </c>
      <c r="F14" s="2">
        <v>27060000</v>
      </c>
    </row>
    <row r="15" spans="1:6" x14ac:dyDescent="0.25">
      <c r="A15" s="2">
        <v>70</v>
      </c>
      <c r="B15" s="2">
        <v>20841000</v>
      </c>
      <c r="C15" s="2">
        <v>25420000</v>
      </c>
      <c r="D15" s="2">
        <v>25124000</v>
      </c>
      <c r="E15" s="3">
        <v>4.32432E-5</v>
      </c>
      <c r="F15" s="2">
        <v>27730000</v>
      </c>
    </row>
    <row r="16" spans="1:6" x14ac:dyDescent="0.25">
      <c r="A16" s="2">
        <v>75</v>
      </c>
      <c r="B16" s="2">
        <v>20092000</v>
      </c>
      <c r="C16" s="2">
        <v>25228000</v>
      </c>
      <c r="D16" s="2">
        <v>25049000</v>
      </c>
      <c r="E16" s="3">
        <v>4.6685299999999998E-5</v>
      </c>
      <c r="F16" s="2">
        <v>28435000</v>
      </c>
    </row>
    <row r="17" spans="1:6" x14ac:dyDescent="0.25">
      <c r="A17" s="2">
        <v>80</v>
      </c>
      <c r="B17" s="2">
        <v>19284000</v>
      </c>
      <c r="C17" s="2">
        <v>25228000</v>
      </c>
      <c r="D17" s="2">
        <v>24919000</v>
      </c>
      <c r="E17" s="3">
        <v>4.9605999999999999E-5</v>
      </c>
      <c r="F17" s="2">
        <v>29433000</v>
      </c>
    </row>
    <row r="18" spans="1:6" x14ac:dyDescent="0.25">
      <c r="A18" s="2">
        <v>85</v>
      </c>
      <c r="B18" s="2">
        <v>18436000</v>
      </c>
      <c r="C18" s="2">
        <v>25228000</v>
      </c>
      <c r="D18" s="2">
        <v>24984000</v>
      </c>
      <c r="E18" s="3">
        <v>5.26905E-5</v>
      </c>
      <c r="F18" s="2">
        <v>30229000</v>
      </c>
    </row>
    <row r="19" spans="1:6" x14ac:dyDescent="0.25">
      <c r="A19" s="2">
        <v>90</v>
      </c>
      <c r="B19" s="2">
        <v>17660000</v>
      </c>
      <c r="C19" s="2">
        <v>25228000</v>
      </c>
      <c r="D19" s="2">
        <v>25059000</v>
      </c>
      <c r="E19" s="3">
        <v>5.57005E-5</v>
      </c>
      <c r="F19" s="2">
        <v>31068000</v>
      </c>
    </row>
    <row r="20" spans="1:6" x14ac:dyDescent="0.25">
      <c r="A20" s="2">
        <v>95</v>
      </c>
      <c r="B20" s="2">
        <v>17032000</v>
      </c>
      <c r="C20" s="2">
        <v>25228000</v>
      </c>
      <c r="D20" s="2">
        <v>25040000</v>
      </c>
      <c r="E20" s="3">
        <v>5.8472199999999999E-5</v>
      </c>
      <c r="F20" s="2">
        <v>31956000</v>
      </c>
    </row>
    <row r="21" spans="1:6" x14ac:dyDescent="0.25">
      <c r="A21" s="2">
        <v>100</v>
      </c>
      <c r="B21" s="2"/>
      <c r="C21" s="2">
        <v>25228000</v>
      </c>
      <c r="D21" s="2">
        <v>25068000</v>
      </c>
      <c r="E21" s="3">
        <v>6.1333200000000004E-5</v>
      </c>
      <c r="F21" s="2">
        <v>32896000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run_2</vt:lpstr>
      <vt:lpstr>temp</vt:lpstr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Yuandu</dc:creator>
  <cp:lastModifiedBy>Yunchuan Liu</cp:lastModifiedBy>
  <dcterms:created xsi:type="dcterms:W3CDTF">2015-06-05T18:19:34Z</dcterms:created>
  <dcterms:modified xsi:type="dcterms:W3CDTF">2025-12-11T12:04:13Z</dcterms:modified>
</cp:coreProperties>
</file>